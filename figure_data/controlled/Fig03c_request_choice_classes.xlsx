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3e02d5914640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V16" sheetId="1" r:id="R87c03d7ec6ed4f2e"/>
    <x:sheet xmlns:r="http://schemas.openxmlformats.org/officeDocument/2006/relationships" name="Fig3c" sheetId="2" r:id="R527ee791175a4ebd"/>
    <x:sheet xmlns:r="http://schemas.openxmlformats.org/officeDocument/2006/relationships" name="README" sheetId="3" r:id="R44020fa9d82a42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8EA9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200" fontId="0" fillId="3" borderId="2" xfId="0" applyNumberFormat="1" applyFont="1" applyFill="1" applyBorder="1"/>
    <x:xf numFmtId="200" fontId="0" fillId="3" borderId="3" xfId="0" applyNumberFormat="1" applyFont="1" applyFill="1" applyBorder="1"/>
    <x:xf numFmtId="200" fontId="0" fillId="4" borderId="2" xfId="0" applyNumberFormat="1" applyFont="1" applyFill="1" applyBorder="1"/>
    <x:xf numFmtId="200" fontId="0" fillId="4" borderId="3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2dfa2d621e452b" /><Relationship Type="http://schemas.openxmlformats.org/officeDocument/2006/relationships/theme" Target="/xl/theme/theme1.xml" Id="R82055d688e5949fa" /><Relationship Type="http://schemas.openxmlformats.org/officeDocument/2006/relationships/sharedStrings" Target="/xl/sharedStrings.xml" Id="Rdfc3396d918e4d9d" /><Relationship Type="http://schemas.openxmlformats.org/officeDocument/2006/relationships/worksheet" Target="/xl/worksheets/sheet1.xml" Id="R87c03d7ec6ed4f2e" /><Relationship Type="http://schemas.openxmlformats.org/officeDocument/2006/relationships/worksheet" Target="/xl/worksheets/sheet2.xml" Id="R527ee791175a4ebd" /><Relationship Type="http://schemas.openxmlformats.org/officeDocument/2006/relationships/worksheet" Target="/xl/worksheets/sheet3.xml" Id="R44020fa9d82a42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</x:cols>
  <x:sheetData>
    <x:row r="1" ht="48" hidden="0" customHeight="1">
      <x:c r="A1" s="7" t="str">
        <x:v>Normalized shortfall cost, theta</x:v>
      </x:c>
      <x:c r="B1" s="7" t="str">
        <x:v>Uncertainty scale, sigma</x:v>
      </x:c>
      <x:c r="C1" s="7" t="str">
        <x:v>Controlled cases, n</x:v>
      </x:c>
      <x:c r="D1" s="7" t="str">
        <x:v>Larger-request share</x:v>
      </x:c>
      <x:c r="E1" s="7" t="str">
        <x:v>Productive high-request share</x:v>
      </x:c>
      <x:c r="F1" s="7" t="str">
        <x:v>Externality-case share</x:v>
      </x:c>
      <x:c r="G1" s="7" t="str">
        <x:v>Published reference-or-other (%)</x:v>
      </x:c>
    </x:row>
    <x:row r="2" ht="15" hidden="0" customHeight="1">
      <x:c r="A2" s="8" t="n">
        <x:v>0</x:v>
      </x:c>
      <x:c r="B2" s="8" t="n">
        <x:v>0.2</x:v>
      </x:c>
      <x:c r="C2" s="10" t="n">
        <x:v>300</x:v>
      </x:c>
      <x:c r="D2" s="12" t="n">
        <x:v>0.9</x:v>
      </x:c>
      <x:c r="E2" s="12" t="n">
        <x:v>0.0633333333333</x:v>
      </x:c>
      <x:c r="F2" s="12" t="n">
        <x:v>0.833333333333</x:v>
      </x:c>
      <x:c r="G2" s="8" t="n">
        <x:v>10.3333333333</x:v>
      </x:c>
    </x:row>
    <x:row r="3" ht="15" hidden="0" customHeight="1">
      <x:c r="A3" s="8" t="n">
        <x:v>0.05</x:v>
      </x:c>
      <x:c r="B3" s="8" t="n">
        <x:v>0.2</x:v>
      </x:c>
      <x:c r="C3" s="10" t="n">
        <x:v>300</x:v>
      </x:c>
      <x:c r="D3" s="12" t="n">
        <x:v>0.9</x:v>
      </x:c>
      <x:c r="E3" s="12" t="n">
        <x:v>0.0633333333333</x:v>
      </x:c>
      <x:c r="F3" s="12" t="n">
        <x:v>0.833333333333</x:v>
      </x:c>
      <x:c r="G3" s="8" t="n">
        <x:v>10.3333333333</x:v>
      </x:c>
    </x:row>
    <x:row r="4" ht="15" hidden="0" customHeight="1">
      <x:c r="A4" s="8" t="n">
        <x:v>0.1</x:v>
      </x:c>
      <x:c r="B4" s="8" t="n">
        <x:v>0.2</x:v>
      </x:c>
      <x:c r="C4" s="10" t="n">
        <x:v>300</x:v>
      </x:c>
      <x:c r="D4" s="12" t="n">
        <x:v>0.9</x:v>
      </x:c>
      <x:c r="E4" s="12" t="n">
        <x:v>0.143333333333</x:v>
      </x:c>
      <x:c r="F4" s="12" t="n">
        <x:v>0.753333333333</x:v>
      </x:c>
      <x:c r="G4" s="8" t="n">
        <x:v>10.3333333333</x:v>
      </x:c>
    </x:row>
    <x:row r="5" ht="15" hidden="0" customHeight="1">
      <x:c r="A5" s="8" t="n">
        <x:v>0.25</x:v>
      </x:c>
      <x:c r="B5" s="8" t="n">
        <x:v>0.2</x:v>
      </x:c>
      <x:c r="C5" s="10" t="n">
        <x:v>300</x:v>
      </x:c>
      <x:c r="D5" s="12" t="n">
        <x:v>0.9</x:v>
      </x:c>
      <x:c r="E5" s="12" t="n">
        <x:v>0.143333333333</x:v>
      </x:c>
      <x:c r="F5" s="12" t="n">
        <x:v>0.753333333333</x:v>
      </x:c>
      <x:c r="G5" s="8" t="n">
        <x:v>10.3333333333</x:v>
      </x:c>
    </x:row>
    <x:row r="6" ht="15" hidden="0" customHeight="1">
      <x:c r="A6" s="8" t="n">
        <x:v>0.5</x:v>
      </x:c>
      <x:c r="B6" s="8" t="n">
        <x:v>0.2</x:v>
      </x:c>
      <x:c r="C6" s="10" t="n">
        <x:v>300</x:v>
      </x:c>
      <x:c r="D6" s="12" t="n">
        <x:v>0.666666666667</x:v>
      </x:c>
      <x:c r="E6" s="12" t="n">
        <x:v>0.303333333333</x:v>
      </x:c>
      <x:c r="F6" s="12" t="n">
        <x:v>0.36</x:v>
      </x:c>
      <x:c r="G6" s="8" t="n">
        <x:v>33.6666666667</x:v>
      </x:c>
    </x:row>
    <x:row r="7" ht="15" hidden="0" customHeight="1">
      <x:c r="A7" s="8" t="n">
        <x:v>1</x:v>
      </x:c>
      <x:c r="B7" s="8" t="n">
        <x:v>0.2</x:v>
      </x:c>
      <x:c r="C7" s="10" t="n">
        <x:v>300</x:v>
      </x:c>
      <x:c r="D7" s="12" t="n">
        <x:v>0.64</x:v>
      </x:c>
      <x:c r="E7" s="12" t="n">
        <x:v>0.276666666667</x:v>
      </x:c>
      <x:c r="F7" s="12" t="n">
        <x:v>0.36</x:v>
      </x:c>
      <x:c r="G7" s="8" t="n">
        <x:v>36.3333333333</x:v>
      </x:c>
    </x:row>
    <x:row r="8" ht="15" hidden="0" customHeight="1">
      <x:c r="A8" s="8" t="n">
        <x:v>2</x:v>
      </x:c>
      <x:c r="B8" s="8" t="n">
        <x:v>0.2</x:v>
      </x:c>
      <x:c r="C8" s="10" t="n">
        <x:v>300</x:v>
      </x:c>
      <x:c r="D8" s="12" t="n">
        <x:v>0.566666666667</x:v>
      </x:c>
      <x:c r="E8" s="12" t="n">
        <x:v>0.2</x:v>
      </x:c>
      <x:c r="F8" s="12" t="n">
        <x:v>0.36</x:v>
      </x:c>
      <x:c r="G8" s="8" t="n">
        <x:v>44</x:v>
      </x:c>
    </x:row>
    <x:row r="9" ht="15" hidden="0" customHeight="1">
      <x:c r="A9" s="8" t="n">
        <x:v>5</x:v>
      </x:c>
      <x:c r="B9" s="8" t="n">
        <x:v>0.2</x:v>
      </x:c>
      <x:c r="C9" s="10" t="n">
        <x:v>300</x:v>
      </x:c>
      <x:c r="D9" s="12" t="n">
        <x:v>0.146666666667</x:v>
      </x:c>
      <x:c r="E9" s="12" t="n">
        <x:v>0.07</x:v>
      </x:c>
      <x:c r="F9" s="12" t="n">
        <x:v>0.0533333333333</x:v>
      </x:c>
      <x:c r="G9" s="8" t="n">
        <x:v>87.6666666667</x:v>
      </x:c>
    </x:row>
    <x:row r="10" ht="15" hidden="0" customHeight="1">
      <x:c r="A10" s="9" t="n">
        <x:v>10</x:v>
      </x:c>
      <x:c r="B10" s="9" t="n">
        <x:v>0.2</x:v>
      </x:c>
      <x:c r="C10" s="11" t="n">
        <x:v>300</x:v>
      </x:c>
      <x:c r="D10" s="13" t="n">
        <x:v>0.133333333333</x:v>
      </x:c>
      <x:c r="E10" s="13" t="n">
        <x:v>0.07</x:v>
      </x:c>
      <x:c r="F10" s="13" t="n">
        <x:v>0.04</x:v>
      </x:c>
      <x:c r="G10" s="9" t="n">
        <x:v>89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2" hidden="0" customWidth="1"/>
    <x:col min="7" max="7" width="29" hidden="0" customWidth="1"/>
    <x:col min="8" max="8" width="29" hidden="0" customWidth="1"/>
    <x:col min="9" max="9" width="32" hidden="0" customWidth="1"/>
  </x:cols>
  <x:sheetData>
    <x:row r="1" ht="56" hidden="0" customHeight="1">
      <x:c r="A1" s="7" t="str">
        <x:v>Normalized shortfall cost, theta</x:v>
      </x:c>
      <x:c r="B1" s="7" t="str">
        <x:v>Reference request (%)</x:v>
      </x:c>
      <x:c r="C1" s="7" t="str">
        <x:v>Other high request (%)</x:v>
      </x:c>
      <x:c r="D1" s="7" t="str">
        <x:v>Productive high request (%)</x:v>
      </x:c>
      <x:c r="E1" s="7" t="str">
        <x:v>Externality case (%)</x:v>
      </x:c>
      <x:c r="F1" s="7" t="str">
        <x:v>Total (%)</x:v>
      </x:c>
      <x:c r="G1" s="7" t="str">
        <x:v>Derived reference-or-other (%)</x:v>
      </x:c>
      <x:c r="H1" s="7" t="str">
        <x:v>Source reference-or-other (%)</x:v>
      </x:c>
      <x:c r="I1" s="7" t="str">
        <x:v>QC difference (percentage points)</x:v>
      </x:c>
    </x:row>
    <x:row r="2" ht="15" hidden="0" customHeight="1">
      <x:c r="A2" s="8" t="n">
        <x:f>'Raw_V16'!A2</x:f>
        <x:v>0</x:v>
      </x:c>
      <x:c r="B2" s="8" t="n">
        <x:f>(1-'Raw_V16'!D2)*100</x:f>
        <x:v>9.999999999999998</x:v>
      </x:c>
      <x:c r="C2" s="8" t="n">
        <x:f>('Raw_V16'!D2-'Raw_V16'!E2-'Raw_V16'!F2)*100</x:f>
        <x:v>0.3333333333700006</x:v>
      </x:c>
      <x:c r="D2" s="8" t="n">
        <x:f>'Raw_V16'!E2*100</x:f>
        <x:v>6.333333333330001</x:v>
      </x:c>
      <x:c r="E2" s="8" t="n">
        <x:f>'Raw_V16'!F2*100</x:f>
        <x:v>83.3333333333</x:v>
      </x:c>
      <x:c r="F2" s="14" t="n">
        <x:f>SUM(B2:E2)</x:f>
        <x:v>100</x:v>
      </x:c>
      <x:c r="G2" s="8" t="n">
        <x:f>B2+C2</x:f>
        <x:v>10.33333333337</x:v>
      </x:c>
      <x:c r="H2" s="8" t="n">
        <x:f>'Raw_V16'!G2</x:f>
        <x:v>10.3333333333</x:v>
      </x:c>
      <x:c r="I2" s="16" t="n">
        <x:f>G2-H2</x:f>
        <x:v>6.999911761340627e-11</x:v>
      </x:c>
    </x:row>
    <x:row r="3" ht="15" hidden="0" customHeight="1">
      <x:c r="A3" s="8" t="n">
        <x:f>'Raw_V16'!A3</x:f>
        <x:v>0.05</x:v>
      </x:c>
      <x:c r="B3" s="8" t="n">
        <x:f>(1-'Raw_V16'!D3)*100</x:f>
        <x:v>9.999999999999998</x:v>
      </x:c>
      <x:c r="C3" s="8" t="n">
        <x:f>('Raw_V16'!D3-'Raw_V16'!E3-'Raw_V16'!F3)*100</x:f>
        <x:v>0.3333333333700006</x:v>
      </x:c>
      <x:c r="D3" s="8" t="n">
        <x:f>'Raw_V16'!E3*100</x:f>
        <x:v>6.333333333330001</x:v>
      </x:c>
      <x:c r="E3" s="8" t="n">
        <x:f>'Raw_V16'!F3*100</x:f>
        <x:v>83.3333333333</x:v>
      </x:c>
      <x:c r="F3" s="14" t="n">
        <x:f>SUM(B3:E3)</x:f>
        <x:v>100</x:v>
      </x:c>
      <x:c r="G3" s="8" t="n">
        <x:f>B3+C3</x:f>
        <x:v>10.33333333337</x:v>
      </x:c>
      <x:c r="H3" s="8" t="n">
        <x:f>'Raw_V16'!G3</x:f>
        <x:v>10.3333333333</x:v>
      </x:c>
      <x:c r="I3" s="16" t="n">
        <x:f>G3-H3</x:f>
        <x:v>6.999911761340627e-11</x:v>
      </x:c>
    </x:row>
    <x:row r="4" ht="15" hidden="0" customHeight="1">
      <x:c r="A4" s="8" t="n">
        <x:f>'Raw_V16'!A4</x:f>
        <x:v>0.1</x:v>
      </x:c>
      <x:c r="B4" s="8" t="n">
        <x:f>(1-'Raw_V16'!D4)*100</x:f>
        <x:v>9.999999999999998</x:v>
      </x:c>
      <x:c r="C4" s="8" t="n">
        <x:f>('Raw_V16'!D4-'Raw_V16'!E4-'Raw_V16'!F4)*100</x:f>
        <x:v>0.3333333333999988</x:v>
      </x:c>
      <x:c r="D4" s="8" t="n">
        <x:f>'Raw_V16'!E4*100</x:f>
        <x:v>14.333333333299999</x:v>
      </x:c>
      <x:c r="E4" s="8" t="n">
        <x:f>'Raw_V16'!F4*100</x:f>
        <x:v>75.3333333333</x:v>
      </x:c>
      <x:c r="F4" s="14" t="n">
        <x:f>SUM(B4:E4)</x:f>
        <x:v>100</x:v>
      </x:c>
      <x:c r="G4" s="8" t="n">
        <x:f>B4+C4</x:f>
        <x:v>10.333333333399997</x:v>
      </x:c>
      <x:c r="H4" s="8" t="n">
        <x:f>'Raw_V16'!G4</x:f>
        <x:v>10.3333333333</x:v>
      </x:c>
      <x:c r="I4" s="16" t="n">
        <x:f>G4-H4</x:f>
        <x:v>9.99964555603583e-11</x:v>
      </x:c>
    </x:row>
    <x:row r="5" ht="15" hidden="0" customHeight="1">
      <x:c r="A5" s="8" t="n">
        <x:f>'Raw_V16'!A5</x:f>
        <x:v>0.25</x:v>
      </x:c>
      <x:c r="B5" s="8" t="n">
        <x:f>(1-'Raw_V16'!D5)*100</x:f>
        <x:v>9.999999999999998</x:v>
      </x:c>
      <x:c r="C5" s="8" t="n">
        <x:f>('Raw_V16'!D5-'Raw_V16'!E5-'Raw_V16'!F5)*100</x:f>
        <x:v>0.3333333333999988</x:v>
      </x:c>
      <x:c r="D5" s="8" t="n">
        <x:f>'Raw_V16'!E5*100</x:f>
        <x:v>14.333333333299999</x:v>
      </x:c>
      <x:c r="E5" s="8" t="n">
        <x:f>'Raw_V16'!F5*100</x:f>
        <x:v>75.3333333333</x:v>
      </x:c>
      <x:c r="F5" s="14" t="n">
        <x:f>SUM(B5:E5)</x:f>
        <x:v>100</x:v>
      </x:c>
      <x:c r="G5" s="8" t="n">
        <x:f>B5+C5</x:f>
        <x:v>10.333333333399997</x:v>
      </x:c>
      <x:c r="H5" s="8" t="n">
        <x:f>'Raw_V16'!G5</x:f>
        <x:v>10.3333333333</x:v>
      </x:c>
      <x:c r="I5" s="16" t="n">
        <x:f>G5-H5</x:f>
        <x:v>9.99964555603583e-11</x:v>
      </x:c>
    </x:row>
    <x:row r="6" ht="15" hidden="0" customHeight="1">
      <x:c r="A6" s="8" t="n">
        <x:f>'Raw_V16'!A6</x:f>
        <x:v>0.5</x:v>
      </x:c>
      <x:c r="B6" s="8" t="n">
        <x:f>(1-'Raw_V16'!D6)*100</x:f>
        <x:v>33.3333333333</x:v>
      </x:c>
      <x:c r="C6" s="8" t="n">
        <x:f>('Raw_V16'!D6-'Raw_V16'!E6-'Raw_V16'!F6)*100</x:f>
        <x:v>0.3333333334000044</x:v>
      </x:c>
      <x:c r="D6" s="8" t="n">
        <x:f>'Raw_V16'!E6*100</x:f>
        <x:v>30.3333333333</x:v>
      </x:c>
      <x:c r="E6" s="8" t="n">
        <x:f>'Raw_V16'!F6*100</x:f>
        <x:v>36</x:v>
      </x:c>
      <x:c r="F6" s="14" t="n">
        <x:f>SUM(B6:E6)</x:f>
        <x:v>100</x:v>
      </x:c>
      <x:c r="G6" s="8" t="n">
        <x:f>B6+C6</x:f>
        <x:v>33.6666666667</x:v>
      </x:c>
      <x:c r="H6" s="8" t="n">
        <x:f>'Raw_V16'!G6</x:f>
        <x:v>33.6666666667</x:v>
      </x:c>
      <x:c r="I6" s="16" t="n">
        <x:f>G6-H6</x:f>
        <x:v>0</x:v>
      </x:c>
    </x:row>
    <x:row r="7" ht="15" hidden="0" customHeight="1">
      <x:c r="A7" s="8" t="n">
        <x:f>'Raw_V16'!A7</x:f>
        <x:v>1</x:v>
      </x:c>
      <x:c r="B7" s="8" t="n">
        <x:f>(1-'Raw_V16'!D7)*100</x:f>
        <x:v>36</x:v>
      </x:c>
      <x:c r="C7" s="8" t="n">
        <x:f>('Raw_V16'!D7-'Raw_V16'!E7-'Raw_V16'!F7)*100</x:f>
        <x:v>0.33333333330000103</x:v>
      </x:c>
      <x:c r="D7" s="8" t="n">
        <x:f>'Raw_V16'!E7*100</x:f>
        <x:v>27.666666666700003</x:v>
      </x:c>
      <x:c r="E7" s="8" t="n">
        <x:f>'Raw_V16'!F7*100</x:f>
        <x:v>36</x:v>
      </x:c>
      <x:c r="F7" s="14" t="n">
        <x:f>SUM(B7:E7)</x:f>
        <x:v>100</x:v>
      </x:c>
      <x:c r="G7" s="8" t="n">
        <x:f>B7+C7</x:f>
        <x:v>36.333333333300004</x:v>
      </x:c>
      <x:c r="H7" s="8" t="n">
        <x:f>'Raw_V16'!G7</x:f>
        <x:v>36.3333333333</x:v>
      </x:c>
      <x:c r="I7" s="16" t="n">
        <x:f>G7-H7</x:f>
        <x:v>7.105427357601002e-15</x:v>
      </x:c>
    </x:row>
    <x:row r="8" ht="15" hidden="0" customHeight="1">
      <x:c r="A8" s="8" t="n">
        <x:f>'Raw_V16'!A8</x:f>
        <x:v>2</x:v>
      </x:c>
      <x:c r="B8" s="8" t="n">
        <x:f>(1-'Raw_V16'!D8)*100</x:f>
        <x:v>43.3333333333</x:v>
      </x:c>
      <x:c r="C8" s="8" t="n">
        <x:f>('Raw_V16'!D8-'Raw_V16'!E8-'Raw_V16'!F8)*100</x:f>
        <x:v>0.6666666667000054</x:v>
      </x:c>
      <x:c r="D8" s="8" t="n">
        <x:f>'Raw_V16'!E8*100</x:f>
        <x:v>20</x:v>
      </x:c>
      <x:c r="E8" s="8" t="n">
        <x:f>'Raw_V16'!F8*100</x:f>
        <x:v>36</x:v>
      </x:c>
      <x:c r="F8" s="14" t="n">
        <x:f>SUM(B8:E8)</x:f>
        <x:v>100</x:v>
      </x:c>
      <x:c r="G8" s="8" t="n">
        <x:f>B8+C8</x:f>
        <x:v>44</x:v>
      </x:c>
      <x:c r="H8" s="8" t="n">
        <x:f>'Raw_V16'!G8</x:f>
        <x:v>44</x:v>
      </x:c>
      <x:c r="I8" s="16" t="n">
        <x:f>G8-H8</x:f>
        <x:v>0</x:v>
      </x:c>
    </x:row>
    <x:row r="9" ht="15" hidden="0" customHeight="1">
      <x:c r="A9" s="8" t="n">
        <x:f>'Raw_V16'!A9</x:f>
        <x:v>5</x:v>
      </x:c>
      <x:c r="B9" s="8" t="n">
        <x:f>(1-'Raw_V16'!D9)*100</x:f>
        <x:v>85.3333333333</x:v>
      </x:c>
      <x:c r="C9" s="8" t="n">
        <x:f>('Raw_V16'!D9-'Raw_V16'!E9-'Raw_V16'!F9)*100</x:f>
        <x:v>2.33333333337</x:v>
      </x:c>
      <x:c r="D9" s="8" t="n">
        <x:f>'Raw_V16'!E9*100</x:f>
        <x:v>7.000000000000001</x:v>
      </x:c>
      <x:c r="E9" s="8" t="n">
        <x:f>'Raw_V16'!F9*100</x:f>
        <x:v>5.333333333330001</x:v>
      </x:c>
      <x:c r="F9" s="14" t="n">
        <x:f>SUM(B9:E9)</x:f>
        <x:v>100.00000000000001</x:v>
      </x:c>
      <x:c r="G9" s="8" t="n">
        <x:f>B9+C9</x:f>
        <x:v>87.66666666667001</x:v>
      </x:c>
      <x:c r="H9" s="8" t="n">
        <x:f>'Raw_V16'!G9</x:f>
        <x:v>87.6666666667</x:v>
      </x:c>
      <x:c r="I9" s="16" t="n">
        <x:f>G9-H9</x:f>
        <x:v>-2.998490344907623e-11</x:v>
      </x:c>
    </x:row>
    <x:row r="10" ht="15" hidden="0" customHeight="1">
      <x:c r="A10" s="9" t="n">
        <x:f>'Raw_V16'!A10</x:f>
        <x:v>10</x:v>
      </x:c>
      <x:c r="B10" s="9" t="n">
        <x:f>(1-'Raw_V16'!D10)*100</x:f>
        <x:v>86.6666666667</x:v>
      </x:c>
      <x:c r="C10" s="9" t="n">
        <x:f>('Raw_V16'!D10-'Raw_V16'!E10-'Raw_V16'!F10)*100</x:f>
        <x:v>2.333333333299998</x:v>
      </x:c>
      <x:c r="D10" s="9" t="n">
        <x:f>'Raw_V16'!E10*100</x:f>
        <x:v>7.000000000000001</x:v>
      </x:c>
      <x:c r="E10" s="9" t="n">
        <x:f>'Raw_V16'!F10*100</x:f>
        <x:v>4</x:v>
      </x:c>
      <x:c r="F10" s="15" t="n">
        <x:f>SUM(B10:E10)</x:f>
        <x:v>100</x:v>
      </x:c>
      <x:c r="G10" s="9" t="n">
        <x:f>B10+C10</x:f>
        <x:v>89</x:v>
      </x:c>
      <x:c r="H10" s="9" t="n">
        <x:f>'Raw_V16'!G10</x:f>
        <x:v>89</x:v>
      </x:c>
      <x:c r="I10" s="17" t="n">
        <x:f>G10-H10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4" hidden="0" customHeight="1">
      <x:c r="A1" s="7" t="str">
        <x:v>Fig. 3(c) redraw note</x:v>
      </x:c>
      <x:c r="B1" s="7" t="str">
        <x:v>Value</x:v>
      </x:c>
    </x:row>
    <x:row r="2" ht="15" hidden="0" customHeight="1">
      <x:c r="A2" s="18" t="str">
        <x:v>Purpose</x:v>
      </x:c>
      <x:c r="B2" s="20" t="str">
        <x:v>Four-class stacked-column data for Fig. 3(c)</x:v>
      </x:c>
    </x:row>
    <x:row r="3" ht="15" hidden="0" customHeight="1">
      <x:c r="A3" s="18" t="str">
        <x:v>Source</x:v>
      </x:c>
      <x:c r="B3" s="20" t="str">
        <x:v>F:/Research Files/14 拓扑压迫分析/r4r_rebuild/outputs/manuscript_behavior_externality_v16/data/csv/Fig03_behavior_surface.csv</x:v>
      </x:c>
    </x:row>
    <x:row r="4" ht="15" hidden="0" customHeight="1">
      <x:c r="A4" s="18" t="str">
        <x:v>Filter</x:v>
      </x:c>
      <x:c r="B4" s="20" t="str">
        <x:v>forecast_cv = 0.20</x:v>
      </x:c>
    </x:row>
    <x:row r="5" ht="15" hidden="0" customHeight="1">
      <x:c r="A5" s="18" t="str">
        <x:v>Reference request</x:v>
      </x:c>
      <x:c r="B5" s="20" t="str">
        <x:v>100 x (1 - larger-request share)</x:v>
      </x:c>
    </x:row>
    <x:row r="6" ht="15" hidden="0" customHeight="1">
      <x:c r="A6" s="18" t="str">
        <x:v>Other high request</x:v>
      </x:c>
      <x:c r="B6" s="20" t="str">
        <x:v>100 x (larger-request share - productive share - externality share)</x:v>
      </x:c>
    </x:row>
    <x:row r="7" ht="15" hidden="0" customHeight="1">
      <x:c r="A7" s="18" t="str">
        <x:v>Stack order</x:v>
      </x:c>
      <x:c r="B7" s="20" t="str">
        <x:v>Reference; Other high; Productive high; Externality</x:v>
      </x:c>
    </x:row>
    <x:row r="8" ht="15" hidden="0" customHeight="1">
      <x:c r="A8" s="18" t="str">
        <x:v>Interpretation</x:v>
      </x:c>
      <x:c r="B8" s="20" t="str">
        <x:v>Other high requests select gamma &gt; 1 but meet neither the productive nor externality definition.</x:v>
      </x:c>
    </x:row>
    <x:row r="9" ht="15" hidden="0" customHeight="1">
      <x:c r="A9" s="19" t="str">
        <x:v>Computation</x:v>
      </x:c>
      <x:c r="B9" s="21" t="str">
        <x:v>Derived from the frozen V16 output; no experiment was rerun.</x:v>
      </x:c>
    </x:row>
  </x:sheetData>
  <x:pageMargins left="0.7" right="0.7" top="0.75" bottom="0.75" header="0.3" footer="0.3"/>
</x:worksheet>
</file>